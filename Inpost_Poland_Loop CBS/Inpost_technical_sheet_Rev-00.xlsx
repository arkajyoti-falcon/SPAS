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01_Proposals\2025 Proposals\F25-00184_Inpost,Poland_Loop CBS\06_Drawings\10-Layout\Solution 5\"/>
    </mc:Choice>
  </mc:AlternateContent>
  <xr:revisionPtr revIDLastSave="0" documentId="13_ncr:1_{78C26A7C-A497-4BBC-9A57-DAE6CED59917}" xr6:coauthVersionLast="47" xr6:coauthVersionMax="47" xr10:uidLastSave="{00000000-0000-0000-0000-000000000000}"/>
  <bookViews>
    <workbookView xWindow="-120" yWindow="-120" windowWidth="29040" windowHeight="15840" xr2:uid="{96E0CA1E-303B-45A6-98C7-8B68592B2661}"/>
  </bookViews>
  <sheets>
    <sheet name="Linear C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25" i="1"/>
  <c r="B9" i="1" l="1"/>
  <c r="F24" i="1"/>
  <c r="F26" i="1" s="1"/>
  <c r="F27" i="1" s="1"/>
  <c r="B24" i="1"/>
  <c r="B26" i="1" l="1"/>
  <c r="B27" i="1" s="1"/>
  <c r="F31" i="1" s="1"/>
  <c r="F32" i="1" s="1"/>
  <c r="F28" i="1"/>
  <c r="B28" i="1" l="1"/>
  <c r="F30" i="1" s="1"/>
  <c r="B10" i="1" l="1"/>
  <c r="B8" i="1" s="1"/>
</calcChain>
</file>

<file path=xl/sharedStrings.xml><?xml version="1.0" encoding="utf-8"?>
<sst xmlns="http://schemas.openxmlformats.org/spreadsheetml/2006/main" count="79" uniqueCount="44">
  <si>
    <t>Specifications</t>
  </si>
  <si>
    <t>CBS</t>
  </si>
  <si>
    <t>Unit</t>
  </si>
  <si>
    <t>Sorter Type</t>
  </si>
  <si>
    <t>Max Product Size (LxWxH)</t>
  </si>
  <si>
    <t>mm</t>
  </si>
  <si>
    <t>Min Product Size (LxWxH)</t>
  </si>
  <si>
    <t>Max Product Weight/Carrier</t>
  </si>
  <si>
    <t>Kg</t>
  </si>
  <si>
    <t>Min Product Weight</t>
  </si>
  <si>
    <t>gm</t>
  </si>
  <si>
    <t>Sorter Speed</t>
  </si>
  <si>
    <t>m/s</t>
  </si>
  <si>
    <t>Sorter Carrier Pitch</t>
  </si>
  <si>
    <t>m</t>
  </si>
  <si>
    <t>Belts/Hour</t>
  </si>
  <si>
    <t>BPH</t>
  </si>
  <si>
    <t>Sorter Running Height</t>
  </si>
  <si>
    <t>No. of Sliding Collection Chute</t>
  </si>
  <si>
    <t>Nos.</t>
  </si>
  <si>
    <t>No. of Rejection</t>
  </si>
  <si>
    <t>Total number of Chutes</t>
  </si>
  <si>
    <t>Operator Working Height at Inducts</t>
  </si>
  <si>
    <t>TPH Calculation</t>
  </si>
  <si>
    <t>Side Induct</t>
  </si>
  <si>
    <t>Straight Induct</t>
  </si>
  <si>
    <t>Single Belt Worth Shipments</t>
  </si>
  <si>
    <t>%</t>
  </si>
  <si>
    <t>Dual Belt Worth Shipments</t>
  </si>
  <si>
    <t>Feeding Capacity for Single</t>
  </si>
  <si>
    <t>PPH</t>
  </si>
  <si>
    <t>Belt Required</t>
  </si>
  <si>
    <t>Belt Width(Induct)</t>
  </si>
  <si>
    <t>Total Belt Required</t>
  </si>
  <si>
    <t>Total Operational TPH</t>
  </si>
  <si>
    <t>Feeding Capacity for Single + Dual (Design)</t>
  </si>
  <si>
    <t>Feeding Capacity for Single + Dual (Operational)</t>
  </si>
  <si>
    <t>Deration</t>
  </si>
  <si>
    <t>Loop CBS</t>
  </si>
  <si>
    <t>800x600x600</t>
  </si>
  <si>
    <t>100x100x5</t>
  </si>
  <si>
    <t>After chute Duplication</t>
  </si>
  <si>
    <t>No. of Spiral Rejection Chute</t>
  </si>
  <si>
    <t>No. of Narrow Chutes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</si>
</sst>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2" borderId="2" xfId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" fontId="1" fillId="5" borderId="25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179678</xdr:colOff>
      <xdr:row>18</xdr:row>
      <xdr:rowOff>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78D51-9AEA-7FB9-9FB6-6CB3BB13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023" y="0"/>
          <a:ext cx="3115110" cy="3429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7F6B-B039-4D29-94B2-BDF6501B4F30}">
  <sheetPr codeName="Sheet1"/>
  <dimension ref="A1:I33"/>
  <sheetViews>
    <sheetView tabSelected="1" zoomScale="110" zoomScaleNormal="110" workbookViewId="0">
      <selection activeCell="D18" sqref="D18"/>
    </sheetView>
  </sheetViews>
  <sheetFormatPr defaultColWidth="9.140625" defaultRowHeight="15" x14ac:dyDescent="0.25"/>
  <cols>
    <col min="1" max="1" width="41.42578125" style="10" customWidth="1"/>
    <col min="2" max="2" width="13.7109375" style="2" bestFit="1" customWidth="1"/>
    <col min="3" max="3" width="5.5703125" style="2" bestFit="1" customWidth="1"/>
    <col min="4" max="4" width="30.28515625" style="2" bestFit="1" customWidth="1"/>
    <col min="5" max="5" width="44" style="2" bestFit="1" customWidth="1"/>
    <col min="6" max="6" width="13.42578125" style="2" bestFit="1" customWidth="1"/>
    <col min="7" max="7" width="12.140625" style="2" bestFit="1" customWidth="1"/>
    <col min="8" max="9" width="14.7109375" style="2" bestFit="1" customWidth="1"/>
    <col min="10" max="10" width="10.7109375" style="2" customWidth="1"/>
    <col min="11" max="11" width="33" style="2" bestFit="1" customWidth="1"/>
    <col min="12" max="16384" width="9.140625" style="2"/>
  </cols>
  <sheetData>
    <row r="1" spans="1:9" x14ac:dyDescent="0.25">
      <c r="A1" s="35"/>
      <c r="B1" s="35"/>
      <c r="C1" s="35"/>
    </row>
    <row r="2" spans="1:9" s="5" customFormat="1" x14ac:dyDescent="0.25">
      <c r="A2" s="3" t="s">
        <v>0</v>
      </c>
      <c r="B2" s="4" t="s">
        <v>1</v>
      </c>
      <c r="C2" s="3" t="s">
        <v>2</v>
      </c>
      <c r="D2" s="2"/>
      <c r="E2" s="2"/>
      <c r="F2" s="2"/>
      <c r="G2" s="2"/>
      <c r="H2" s="2"/>
      <c r="I2" s="2"/>
    </row>
    <row r="3" spans="1:9" x14ac:dyDescent="0.25">
      <c r="A3" s="6" t="s">
        <v>3</v>
      </c>
      <c r="B3" s="7" t="s">
        <v>38</v>
      </c>
      <c r="C3" s="1"/>
    </row>
    <row r="4" spans="1:9" x14ac:dyDescent="0.25">
      <c r="A4" s="6" t="s">
        <v>4</v>
      </c>
      <c r="B4" s="7" t="s">
        <v>39</v>
      </c>
      <c r="C4" s="1" t="s">
        <v>5</v>
      </c>
    </row>
    <row r="5" spans="1:9" x14ac:dyDescent="0.25">
      <c r="A5" s="6" t="s">
        <v>6</v>
      </c>
      <c r="B5" s="7" t="s">
        <v>40</v>
      </c>
      <c r="C5" s="1" t="s">
        <v>5</v>
      </c>
    </row>
    <row r="6" spans="1:9" x14ac:dyDescent="0.25">
      <c r="A6" s="6" t="s">
        <v>7</v>
      </c>
      <c r="B6" s="7">
        <v>30</v>
      </c>
      <c r="C6" s="1" t="s">
        <v>8</v>
      </c>
    </row>
    <row r="7" spans="1:9" x14ac:dyDescent="0.25">
      <c r="A7" s="6" t="s">
        <v>9</v>
      </c>
      <c r="B7" s="7">
        <v>50</v>
      </c>
      <c r="C7" s="1" t="s">
        <v>10</v>
      </c>
    </row>
    <row r="8" spans="1:9" x14ac:dyDescent="0.25">
      <c r="A8" s="6" t="s">
        <v>11</v>
      </c>
      <c r="B8" s="28">
        <f>(B10*B9)/3600</f>
        <v>2.6993993055555556</v>
      </c>
      <c r="C8" s="1" t="s">
        <v>12</v>
      </c>
    </row>
    <row r="9" spans="1:9" x14ac:dyDescent="0.25">
      <c r="A9" s="6" t="s">
        <v>13</v>
      </c>
      <c r="B9" s="8">
        <f>1.175/2</f>
        <v>0.58750000000000002</v>
      </c>
      <c r="C9" s="1" t="s">
        <v>14</v>
      </c>
    </row>
    <row r="10" spans="1:9" x14ac:dyDescent="0.25">
      <c r="A10" s="6" t="s">
        <v>15</v>
      </c>
      <c r="B10" s="9">
        <f>$F$30</f>
        <v>16541</v>
      </c>
      <c r="C10" s="1" t="s">
        <v>16</v>
      </c>
    </row>
    <row r="11" spans="1:9" x14ac:dyDescent="0.25">
      <c r="A11" s="6" t="s">
        <v>17</v>
      </c>
      <c r="B11" s="1">
        <v>1700</v>
      </c>
      <c r="C11" s="1" t="s">
        <v>5</v>
      </c>
    </row>
    <row r="12" spans="1:9" x14ac:dyDescent="0.25">
      <c r="A12" s="6" t="s">
        <v>18</v>
      </c>
      <c r="B12" s="1">
        <f>52+52</f>
        <v>104</v>
      </c>
      <c r="C12" s="1" t="s">
        <v>19</v>
      </c>
    </row>
    <row r="13" spans="1:9" x14ac:dyDescent="0.25">
      <c r="A13" s="6" t="s">
        <v>20</v>
      </c>
      <c r="B13" s="1">
        <f>1+1</f>
        <v>2</v>
      </c>
      <c r="C13" s="1" t="s">
        <v>19</v>
      </c>
    </row>
    <row r="14" spans="1:9" x14ac:dyDescent="0.25">
      <c r="A14" s="6" t="s">
        <v>42</v>
      </c>
      <c r="B14" s="1">
        <f>1+1</f>
        <v>2</v>
      </c>
      <c r="C14" s="1" t="s">
        <v>19</v>
      </c>
    </row>
    <row r="15" spans="1:9" x14ac:dyDescent="0.25">
      <c r="A15" s="6" t="s">
        <v>43</v>
      </c>
      <c r="B15" s="1">
        <f>5+5</f>
        <v>10</v>
      </c>
      <c r="C15" s="1" t="s">
        <v>19</v>
      </c>
    </row>
    <row r="16" spans="1:9" x14ac:dyDescent="0.25">
      <c r="A16" s="6" t="s">
        <v>21</v>
      </c>
      <c r="B16" s="1">
        <f>B12+B13+B14+B15</f>
        <v>118</v>
      </c>
      <c r="C16" s="1" t="s">
        <v>19</v>
      </c>
    </row>
    <row r="17" spans="1:9" x14ac:dyDescent="0.25">
      <c r="A17" s="6" t="s">
        <v>22</v>
      </c>
      <c r="B17" s="1">
        <v>800</v>
      </c>
      <c r="C17" s="1" t="s">
        <v>5</v>
      </c>
    </row>
    <row r="19" spans="1:9" ht="15.75" thickBot="1" x14ac:dyDescent="0.3">
      <c r="F19" s="26" t="s">
        <v>37</v>
      </c>
      <c r="G19" s="27">
        <v>0.15</v>
      </c>
    </row>
    <row r="20" spans="1:9" ht="15.75" thickBot="1" x14ac:dyDescent="0.3">
      <c r="A20" s="36" t="s">
        <v>23</v>
      </c>
      <c r="B20" s="37"/>
      <c r="C20" s="37"/>
      <c r="D20" s="37"/>
      <c r="E20" s="37"/>
      <c r="F20" s="38"/>
      <c r="G20" s="39"/>
    </row>
    <row r="21" spans="1:9" ht="15.75" thickBot="1" x14ac:dyDescent="0.3">
      <c r="A21" s="40" t="s">
        <v>24</v>
      </c>
      <c r="B21" s="41"/>
      <c r="C21" s="42"/>
      <c r="D21" s="43"/>
      <c r="E21" s="36" t="s">
        <v>25</v>
      </c>
      <c r="F21" s="37"/>
      <c r="G21" s="46"/>
    </row>
    <row r="22" spans="1:9" x14ac:dyDescent="0.25">
      <c r="A22" s="11" t="s">
        <v>0</v>
      </c>
      <c r="B22" s="12" t="s">
        <v>1</v>
      </c>
      <c r="C22" s="13" t="s">
        <v>2</v>
      </c>
      <c r="D22" s="44"/>
      <c r="E22" s="11" t="s">
        <v>0</v>
      </c>
      <c r="F22" s="12" t="s">
        <v>1</v>
      </c>
      <c r="G22" s="13" t="s">
        <v>2</v>
      </c>
    </row>
    <row r="23" spans="1:9" x14ac:dyDescent="0.25">
      <c r="A23" s="14" t="s">
        <v>26</v>
      </c>
      <c r="B23" s="9">
        <v>91.8</v>
      </c>
      <c r="C23" s="15" t="s">
        <v>27</v>
      </c>
      <c r="D23" s="44"/>
      <c r="E23" s="14" t="s">
        <v>26</v>
      </c>
      <c r="F23" s="9">
        <v>80</v>
      </c>
      <c r="G23" s="15" t="s">
        <v>27</v>
      </c>
    </row>
    <row r="24" spans="1:9" x14ac:dyDescent="0.25">
      <c r="A24" s="14" t="s">
        <v>28</v>
      </c>
      <c r="B24" s="9">
        <f>100-B23</f>
        <v>8.2000000000000028</v>
      </c>
      <c r="C24" s="15" t="s">
        <v>27</v>
      </c>
      <c r="D24" s="44"/>
      <c r="E24" s="14" t="s">
        <v>28</v>
      </c>
      <c r="F24" s="9">
        <f>100-F23</f>
        <v>20</v>
      </c>
      <c r="G24" s="15" t="s">
        <v>27</v>
      </c>
    </row>
    <row r="25" spans="1:9" x14ac:dyDescent="0.25">
      <c r="A25" s="14" t="s">
        <v>29</v>
      </c>
      <c r="B25" s="7">
        <f>2363*7</f>
        <v>16541</v>
      </c>
      <c r="C25" s="15" t="s">
        <v>30</v>
      </c>
      <c r="D25" s="44"/>
      <c r="E25" s="14" t="s">
        <v>29</v>
      </c>
      <c r="F25" s="7">
        <v>0</v>
      </c>
      <c r="G25" s="15" t="s">
        <v>30</v>
      </c>
      <c r="I25" s="16"/>
    </row>
    <row r="26" spans="1:9" x14ac:dyDescent="0.25">
      <c r="A26" s="14" t="s">
        <v>35</v>
      </c>
      <c r="B26" s="17">
        <f>B25*100/(100+B24)</f>
        <v>15287.430683918668</v>
      </c>
      <c r="C26" s="15" t="s">
        <v>30</v>
      </c>
      <c r="D26" s="44"/>
      <c r="E26" s="14" t="s">
        <v>35</v>
      </c>
      <c r="F26" s="17">
        <f>F25*100/(100+F24)</f>
        <v>0</v>
      </c>
      <c r="G26" s="15" t="s">
        <v>30</v>
      </c>
      <c r="I26" s="16"/>
    </row>
    <row r="27" spans="1:9" x14ac:dyDescent="0.25">
      <c r="A27" s="14" t="s">
        <v>36</v>
      </c>
      <c r="B27" s="17">
        <f>B26-B26*G19</f>
        <v>12994.316081330868</v>
      </c>
      <c r="C27" s="15" t="s">
        <v>30</v>
      </c>
      <c r="D27" s="44"/>
      <c r="E27" s="14" t="s">
        <v>36</v>
      </c>
      <c r="F27" s="17">
        <f>F26-F26*G19</f>
        <v>0</v>
      </c>
      <c r="G27" s="15" t="s">
        <v>30</v>
      </c>
      <c r="I27" s="16"/>
    </row>
    <row r="28" spans="1:9" x14ac:dyDescent="0.25">
      <c r="A28" s="18" t="s">
        <v>31</v>
      </c>
      <c r="B28" s="9">
        <f>(B26*B23%)+(B26*B24%*2)</f>
        <v>16541</v>
      </c>
      <c r="C28" s="19" t="s">
        <v>16</v>
      </c>
      <c r="D28" s="44"/>
      <c r="E28" s="18" t="s">
        <v>31</v>
      </c>
      <c r="F28" s="9">
        <f>(F26*F23%)+(F26*F24%*2)</f>
        <v>0</v>
      </c>
      <c r="G28" s="19" t="s">
        <v>16</v>
      </c>
      <c r="I28" s="16"/>
    </row>
    <row r="29" spans="1:9" ht="15.75" thickBot="1" x14ac:dyDescent="0.3">
      <c r="A29" s="20" t="s">
        <v>32</v>
      </c>
      <c r="B29" s="21">
        <v>1000</v>
      </c>
      <c r="C29" s="22" t="s">
        <v>5</v>
      </c>
      <c r="D29" s="45"/>
      <c r="E29" s="20" t="s">
        <v>32</v>
      </c>
      <c r="F29" s="21">
        <v>800</v>
      </c>
      <c r="G29" s="22" t="s">
        <v>5</v>
      </c>
    </row>
    <row r="30" spans="1:9" ht="15.75" thickBot="1" x14ac:dyDescent="0.3">
      <c r="A30" s="32" t="s">
        <v>33</v>
      </c>
      <c r="B30" s="33"/>
      <c r="C30" s="33"/>
      <c r="D30" s="33"/>
      <c r="E30" s="33"/>
      <c r="F30" s="23">
        <f>B28+F28</f>
        <v>16541</v>
      </c>
      <c r="G30" s="24" t="s">
        <v>16</v>
      </c>
    </row>
    <row r="31" spans="1:9" ht="15.75" thickBot="1" x14ac:dyDescent="0.3">
      <c r="A31" s="32" t="s">
        <v>34</v>
      </c>
      <c r="B31" s="33"/>
      <c r="C31" s="33"/>
      <c r="D31" s="33"/>
      <c r="E31" s="34"/>
      <c r="F31" s="29">
        <f>(B27+F27)</f>
        <v>12994.316081330868</v>
      </c>
      <c r="G31" s="25" t="s">
        <v>30</v>
      </c>
    </row>
    <row r="32" spans="1:9" ht="16.5" thickBot="1" x14ac:dyDescent="0.3">
      <c r="E32" s="30" t="s">
        <v>41</v>
      </c>
      <c r="F32" s="31">
        <f>F31*2</f>
        <v>25988.632162661735</v>
      </c>
      <c r="G32" s="25" t="s">
        <v>30</v>
      </c>
    </row>
    <row r="33" spans="6:6" x14ac:dyDescent="0.25">
      <c r="F33" s="16"/>
    </row>
  </sheetData>
  <mergeCells count="7">
    <mergeCell ref="A31:E31"/>
    <mergeCell ref="A1:C1"/>
    <mergeCell ref="A20:G20"/>
    <mergeCell ref="A21:C21"/>
    <mergeCell ref="D21:D29"/>
    <mergeCell ref="E21:G21"/>
    <mergeCell ref="A30:E3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Deepanjan</dc:creator>
  <cp:lastModifiedBy>Arun Kumar</cp:lastModifiedBy>
  <dcterms:created xsi:type="dcterms:W3CDTF">2024-11-27T08:41:46Z</dcterms:created>
  <dcterms:modified xsi:type="dcterms:W3CDTF">2025-07-17T08:52:59Z</dcterms:modified>
</cp:coreProperties>
</file>